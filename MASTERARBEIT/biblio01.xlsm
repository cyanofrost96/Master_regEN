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Docs\UNI_Master\MASTERARBEIT\"/>
    </mc:Choice>
  </mc:AlternateContent>
  <xr:revisionPtr revIDLastSave="0" documentId="13_ncr:1_{BFBF5948-0C76-4B78-ACE6-1D06D8FBB627}" xr6:coauthVersionLast="47" xr6:coauthVersionMax="47" xr10:uidLastSave="{00000000-0000-0000-0000-000000000000}"/>
  <bookViews>
    <workbookView minimized="1" xWindow="1416" yWindow="1068" windowWidth="21624" windowHeight="11172" xr2:uid="{CDF86C6D-8342-494B-A985-BE5DE3233E02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<sst xmlns="http://schemas.openxmlformats.org/spreadsheetml/2006/main" count="62" uniqueCount="45">
  <si>
    <t>Quellentyp</t>
  </si>
  <si>
    <t>misc</t>
  </si>
  <si>
    <t>book</t>
  </si>
  <si>
    <t>article</t>
  </si>
  <si>
    <t>title</t>
  </si>
  <si>
    <t>author</t>
  </si>
  <si>
    <t>year</t>
  </si>
  <si>
    <t>page</t>
  </si>
  <si>
    <t>url</t>
  </si>
  <si>
    <t>note</t>
  </si>
  <si>
    <t>Nr.</t>
  </si>
  <si>
    <t>.bib</t>
  </si>
  <si>
    <t>type</t>
  </si>
  <si>
    <t>CiteName</t>
  </si>
  <si>
    <t>htec_pemel</t>
  </si>
  <si>
    <t>Bedienungsanleitung ME450</t>
  </si>
  <si>
    <t>H-TEC Systems</t>
  </si>
  <si>
    <t>https://www.h-tec.com/fileadmin/user_upload/produkte/produktseiten/ME450-1400/spec-sheet/H-TEC-Datenblatt-ME450-DE-23-08.pdf</t>
  </si>
  <si>
    <t>@misc{htec_pemel,
   title = {Bedienungsanleitung ME450},
   author = {H-TEC Systems},
   year = {2023},
   url = {https://www.h-tec.com/fileadmin/user_upload/produkte/produktseiten/ME450-1400/spec-sheet/H-TEC-Datenblatt-ME450-DE-23-08.pdf}
}</t>
  </si>
  <si>
    <t>F_IA</t>
  </si>
  <si>
    <t>Kurzstudie industrielle Abwärmenutzung</t>
  </si>
  <si>
    <t>Fraunhofer ISI</t>
  </si>
  <si>
    <t>https://www.isi.fraunhofer.de/content/dam/isi/dokumente/cce/2013/Kurzstudie_Abwaermenutzung.pdf</t>
  </si>
  <si>
    <t>@misc{F_IA,
   title = {Kurzstudie industrielle Abwärmenutzung},
   author = {Fraunhofer ISI},
   year = {2013},
   url = {https://www.isi.fraunhofer.de/content/dam/isi/dokumente/cce/2013/Kurzstudie_Abwaermenutzung.pdf}
}</t>
  </si>
  <si>
    <t>NS_FAQ</t>
  </si>
  <si>
    <t>Antworten auf die häufigsten Fragen zum Nahwärmenetz</t>
  </si>
  <si>
    <t>Naturstrom</t>
  </si>
  <si>
    <t>https://www.naturstrom.de/Energieprojekte/Buergerenergie/Markt_Erlbach/Nahwaerme_NATURSTROM_FAQ.pdf</t>
  </si>
  <si>
    <t>@misc{NS_FAQ,
   title = {Antworten auf die häufigsten Fragen zum Nahwärmenetz},
   author = {Naturstrom},
   year = {2023},
   url = {https://www.naturstrom.de/Energieprojekte/Buergerenergie/Markt_Erlbach/Nahwaerme_NATURSTROM_FAQ.pdf}
}</t>
  </si>
  <si>
    <t>rech_Wverl</t>
  </si>
  <si>
    <t>Wärmeverlust bei Erdleitungen</t>
  </si>
  <si>
    <t>rainbow-tech</t>
  </si>
  <si>
    <t>http://www.fernwaermeleitungen.com/waermeverlust.html</t>
  </si>
  <si>
    <t>@misc{rech_Wverl,
   title = {Wärmeverlust bei Erdleitungen},
   author = {rainbow-tech},
   year = {2023},
   url = {http://www.fernwaermeleitungen.com/waermeverlust.html}
}</t>
  </si>
  <si>
    <t>isopex Doppelrohr Heizung Typ H-75+75</t>
  </si>
  <si>
    <t>Bernhard Bösken GmbH</t>
  </si>
  <si>
    <t>https://www.boesken.de/installation/nah-und-fernwaermeleitungen/isoplus/isopex-doppelrohr-heizung/19998/isopex-doppelrohr-heizung-typ-h-75-75-da-2-x-75-da-200-aus-kunststoff-6-bar</t>
  </si>
  <si>
    <t>dplrohr_H75</t>
  </si>
  <si>
    <t>@misc{dplrohr_H75,
   title = {isopex Doppelrohr Heizung Typ H-75+75},
   author = {Bernhard Bösken GmbH},
   year = {2024},
   url = {https://www.boesken.de/installation/nah-und-fernwaermeleitungen/isoplus/isopex-doppelrohr-heizung/19998/isopex-doppelrohr-heizung-typ-h-75-75-da-2-x-75-da-200-aus-kunststoff-6-bar}
}</t>
  </si>
  <si>
    <t xml:space="preserve">@misc{htec_pemel,
   title = {Bedienungsanleitung ME450},
   author = {H-TEC Systems},
   year = {2023},
   url = {https://www.h-tec.com/fileadmin/user_upload/produkte/produktseiten/ME450-1400/spec-sheet/H-TEC-Datenblatt-ME450-DE-23-08.pdf}
}
@misc{F_IA,
   title = {Kurzstudie industrielle Abwärmenutzung},
   author = {Fraunhofer ISI},
   year = {2013},
   url = {https://www.isi.fraunhofer.de/content/dam/isi/dokumente/cce/2013/Kurzstudie_Abwaermenutzung.pdf}
}
@misc{NS_FAQ,
   title = {Antworten auf die häufigsten Fragen zum Nahwärmenetz},
   author = {Naturstrom},
   year = {2023},
   url = {https://www.naturstrom.de/Energieprojekte/Buergerenergie/Markt_Erlbach/Nahwaerme_NATURSTROM_FAQ.pdf}
}
@misc{rech_Wverl,
   title = {Wärmeverlust bei Erdleitungen},
   author = {rainbow-tech},
   year = {2023},
   url = {http://www.fernwaermeleitungen.com/waermeverlust.html}
}
@misc{dplrohr_H75,
   title = {isopex Doppelrohr Heizung Typ H-75+75},
   author = {Bernhard Bösken GmbH},
   year = {2024},
   url = {https://www.boesken.de/installation/nah-und-fernwaermeleitungen/isoplus/isopex-doppelrohr-heizung/19998/isopex-doppelrohr-heizung-typ-h-75-75-da-2-x-75-da-200-aus-kunststoff-6-bar}
}
@book{bobo2,
   title = {bobo2},
   author = {gramedia},
   year = {2024},
   page = {10}
}
</t>
  </si>
  <si>
    <t>aq1</t>
  </si>
  <si>
    <t>Planung und Bau eines Aquiferspeicher zur saisonälen Speicherung von Ab- und Überschussärme</t>
  </si>
  <si>
    <t>Technische Universität Hamburg (TUHH) und NRL</t>
  </si>
  <si>
    <t>https://www.tuhh.de/technische-thermodynamik/forschung/laufende-projekte/nrl-aquiferspeicher</t>
  </si>
  <si>
    <t>@misc{aq1,
   title = {Planung und Bau eines Aquiferspeicher zur saisonälen Speicherung von Ab- und Überschussärme},
   author = {Technische Universität Hamburg (TUHH) und NRL},
   year = {2021},
   url = {https://www.tuhh.de/technische-thermodynamik/forschung/laufende-projekte/nrl-aquiferspeicher}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</si>
</sst>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3</xdr:row>
      <xdr:rowOff>114300</xdr:rowOff>
    </xdr:from>
    <xdr:to>
      <xdr:col>8</xdr:col>
      <xdr:colOff>632460</xdr:colOff>
      <xdr:row>7</xdr:row>
      <xdr:rowOff>15240</xdr:rowOff>
    </xdr:to>
    <xdr:sp macro="[0]!kopieren_auf_datenbank" textlink="">
      <xdr:nvSpPr>
        <xdr:cNvPr id="2" name="Rechteck 1">
          <a:extLst>
            <a:ext uri="{FF2B5EF4-FFF2-40B4-BE49-F238E27FC236}">
              <a16:creationId xmlns:a16="http://schemas.microsoft.com/office/drawing/2014/main" id="{16A48674-B357-7EAC-2EB2-D2734177C633}"/>
            </a:ext>
          </a:extLst>
        </xdr:cNvPr>
        <xdr:cNvSpPr/>
      </xdr:nvSpPr>
      <xdr:spPr>
        <a:xfrm>
          <a:off x="5852160" y="662940"/>
          <a:ext cx="1120140" cy="63246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Copy</a:t>
          </a:r>
          <a:r>
            <a:rPr lang="de-DE" sz="1200" b="1" baseline="0"/>
            <a:t> to DB</a:t>
          </a:r>
          <a:endParaRPr lang="de-DE" sz="1200" b="1"/>
        </a:p>
      </xdr:txBody>
    </xdr:sp>
    <xdr:clientData/>
  </xdr:twoCellAnchor>
  <xdr:twoCellAnchor>
    <xdr:from>
      <xdr:col>7</xdr:col>
      <xdr:colOff>304800</xdr:colOff>
      <xdr:row>7</xdr:row>
      <xdr:rowOff>45720</xdr:rowOff>
    </xdr:from>
    <xdr:to>
      <xdr:col>8</xdr:col>
      <xdr:colOff>632460</xdr:colOff>
      <xdr:row>10</xdr:row>
      <xdr:rowOff>129540</xdr:rowOff>
    </xdr:to>
    <xdr:sp macro="[0]!kopieren_auf_zwablage" textlink="">
      <xdr:nvSpPr>
        <xdr:cNvPr id="3" name="Rechteck 2">
          <a:extLst>
            <a:ext uri="{FF2B5EF4-FFF2-40B4-BE49-F238E27FC236}">
              <a16:creationId xmlns:a16="http://schemas.microsoft.com/office/drawing/2014/main" id="{CDF12611-95E0-AB0F-44D9-A2A44B4F70BA}"/>
            </a:ext>
          </a:extLst>
        </xdr:cNvPr>
        <xdr:cNvSpPr/>
      </xdr:nvSpPr>
      <xdr:spPr>
        <a:xfrm>
          <a:off x="5852160" y="1325880"/>
          <a:ext cx="1120140" cy="63246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/>
            <a:t>Copy</a:t>
          </a:r>
          <a:r>
            <a:rPr lang="de-DE" sz="1200" b="1" baseline="0"/>
            <a:t> DB to Clipboard</a:t>
          </a:r>
          <a:endParaRPr lang="de-DE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06A25-C5D4-4301-A8A5-8A279A7C3555}">
  <sheetPr codeName="Gen"/>
  <dimension ref="B1:F12"/>
  <sheetViews>
    <sheetView tabSelected="1" workbookViewId="0">
      <selection activeCell="C7" sqref="C7"/>
    </sheetView>
  </sheetViews>
  <sheetFormatPr baseColWidth="10" defaultRowHeight="14.4" x14ac:dyDescent="0.3"/>
  <sheetData>
    <row r="1" spans="2:6" x14ac:dyDescent="0.3">
      <c r="F1" t="s">
        <v>0</v>
      </c>
    </row>
    <row r="2" spans="2:6" x14ac:dyDescent="0.3">
      <c r="B2" t="s">
        <v>1</v>
      </c>
      <c r="C2" t="s">
        <v>40</v>
      </c>
      <c r="F2" t="s">
        <v>1</v>
      </c>
    </row>
    <row r="3" spans="2:6" x14ac:dyDescent="0.3">
      <c r="B3" t="s">
        <v>4</v>
      </c>
      <c r="C3" t="s">
        <v>41</v>
      </c>
      <c r="F3" t="s">
        <v>2</v>
      </c>
    </row>
    <row r="4" spans="2:6" x14ac:dyDescent="0.3">
      <c r="B4" t="s">
        <v>5</v>
      </c>
      <c r="C4" t="s">
        <v>42</v>
      </c>
      <c r="F4" t="s">
        <v>3</v>
      </c>
    </row>
    <row r="5" spans="2:6" x14ac:dyDescent="0.3">
      <c r="B5" t="s">
        <v>6</v>
      </c>
      <c r="C5">
        <v>2021</v>
      </c>
    </row>
    <row r="6" spans="2:6" x14ac:dyDescent="0.3">
      <c r="B6" t="s">
        <v>7</v>
      </c>
    </row>
    <row r="7" spans="2:6" x14ac:dyDescent="0.3">
      <c r="B7" t="s">
        <v>8</v>
      </c>
      <c r="C7" t="s">
        <v>43</v>
      </c>
    </row>
    <row r="8" spans="2:6" x14ac:dyDescent="0.3">
      <c r="B8" t="s">
        <v>9</v>
      </c>
    </row>
    <row r="12" spans="2:6" x14ac:dyDescent="0.3">
      <c r="B12" t="str">
        <f>CONCATENATE("@",B2,"{",C2,",",CHAR(10),"   title = {",C3,"},",CHAR(10),"   author = {",C4,"}",IF(C5="","",CONCATENATE(",",CHAR(10),"   ",B5," = {",C5,"}",)),IF(C6="","",CONCATENATE(",",CHAR(10),"   ",B6," = {",C6,"}")),IF(C7="","",CONCATENATE(",",CHAR(10),"   ",B7," = {",C7,"}",)),IF(C8="","",CONCATENATE(",",CHAR(10),"   ",B8," = {",C8,"}",)),CHAR(10),"}")</f>
        <v>@misc{aq1,
   title = {Planung und Bau eines Aquiferspeicher zur saisonälen Speicherung von Ab- und Überschussärme},
   author = {Technische Universität Hamburg (TUHH) und NRL},
   year = {2021},
   url = {https://www.tuhh.de/technische-thermodynamik/forschung/laufende-projekte/nrl-aquiferspeicher}
}</v>
      </c>
    </row>
  </sheetData>
  <dataValidations count="1">
    <dataValidation type="list" allowBlank="1" showInputMessage="1" showErrorMessage="1" sqref="B2" xr:uid="{E478D603-F723-4605-B481-849F5DBBC07C}">
      <formula1>$F$2:$F$4</formula1>
    </dataValidation>
  </dataValidation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3287-3783-4962-A87D-74432B2EC7EB}">
  <sheetPr codeName="DB"/>
  <dimension ref="A1:Z7"/>
  <sheetViews>
    <sheetView workbookViewId="0">
      <selection activeCell="A7" sqref="A7:XFD7"/>
    </sheetView>
  </sheetViews>
  <sheetFormatPr baseColWidth="10" defaultRowHeight="14.4" x14ac:dyDescent="0.3"/>
  <cols>
    <col min="2" max="2" width="11.5546875" style="1"/>
  </cols>
  <sheetData>
    <row r="1" spans="1:26" x14ac:dyDescent="0.3">
      <c r="A1" t="s">
        <v>10</v>
      </c>
      <c r="B1" s="1" t="s">
        <v>11</v>
      </c>
      <c r="C1" t="s">
        <v>13</v>
      </c>
      <c r="D1" t="s">
        <v>12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Z1" t="s">
        <v>39</v>
      </c>
    </row>
    <row r="2" spans="1:26" x14ac:dyDescent="0.3">
      <c r="A2">
        <v>1</v>
      </c>
      <c r="B2" s="1" t="s">
        <v>18</v>
      </c>
      <c r="C2" t="s">
        <v>1</v>
      </c>
      <c r="D2" t="s">
        <v>14</v>
      </c>
      <c r="E2" t="s">
        <v>15</v>
      </c>
      <c r="F2" t="s">
        <v>16</v>
      </c>
      <c r="G2">
        <v>2023</v>
      </c>
      <c r="I2" t="s">
        <v>17</v>
      </c>
    </row>
    <row r="3" spans="1:26" x14ac:dyDescent="0.3">
      <c r="A3">
        <v>2</v>
      </c>
      <c r="B3" s="1" t="s">
        <v>23</v>
      </c>
      <c r="C3" t="s">
        <v>1</v>
      </c>
      <c r="D3" t="s">
        <v>19</v>
      </c>
      <c r="E3" t="s">
        <v>20</v>
      </c>
      <c r="F3" t="s">
        <v>21</v>
      </c>
      <c r="G3">
        <v>2013</v>
      </c>
      <c r="I3" t="s">
        <v>22</v>
      </c>
    </row>
    <row r="4" spans="1:26" x14ac:dyDescent="0.3">
      <c r="A4">
        <v>3</v>
      </c>
      <c r="B4" s="1" t="s">
        <v>28</v>
      </c>
      <c r="C4" t="s">
        <v>1</v>
      </c>
      <c r="D4" t="s">
        <v>24</v>
      </c>
      <c r="E4" t="s">
        <v>25</v>
      </c>
      <c r="F4" t="s">
        <v>26</v>
      </c>
      <c r="G4">
        <v>2023</v>
      </c>
      <c r="I4" t="s">
        <v>27</v>
      </c>
    </row>
    <row r="5" spans="1:26" x14ac:dyDescent="0.3">
      <c r="A5">
        <v>4</v>
      </c>
      <c r="B5" s="1" t="s">
        <v>33</v>
      </c>
      <c r="C5" t="s">
        <v>1</v>
      </c>
      <c r="D5" t="s">
        <v>29</v>
      </c>
      <c r="E5" t="s">
        <v>30</v>
      </c>
      <c r="F5" t="s">
        <v>31</v>
      </c>
      <c r="G5">
        <v>2023</v>
      </c>
      <c r="I5" t="s">
        <v>32</v>
      </c>
    </row>
    <row r="6" spans="1:26" x14ac:dyDescent="0.3">
      <c r="A6">
        <v>5</v>
      </c>
      <c r="B6" s="1" t="s">
        <v>38</v>
      </c>
      <c r="C6" t="s">
        <v>1</v>
      </c>
      <c r="D6" t="s">
        <v>37</v>
      </c>
      <c r="E6" t="s">
        <v>34</v>
      </c>
      <c r="F6" t="s">
        <v>35</v>
      </c>
      <c r="G6">
        <v>2024</v>
      </c>
      <c r="I6" t="s">
        <v>36</v>
      </c>
    </row>
    <row r="7" spans="1:26" x14ac:dyDescent="0.3">
      <c r="A7">
        <v>6</v>
      </c>
      <c r="B7" s="1" t="s">
        <v>44</v>
      </c>
      <c r="C7" t="s">
        <v>1</v>
      </c>
      <c r="D7" t="s">
        <v>40</v>
      </c>
      <c r="E7" t="s">
        <v>41</v>
      </c>
      <c r="F7" t="s">
        <v>42</v>
      </c>
      <c r="G7">
        <v>2021</v>
      </c>
      <c r="I7" t="s">
        <v>43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Azarya Arkyoda</dc:creator>
  <cp:lastModifiedBy>Azarya Arkyoda</cp:lastModifiedBy>
  <dcterms:created xsi:type="dcterms:W3CDTF">2024-01-11T23:20:33Z</dcterms:created>
  <dcterms:modified xsi:type="dcterms:W3CDTF">2024-01-22T09:56:49Z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2024-01-11T23:24:28Z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d14500c7-b0c0-42a7-99f4-eee6db3c0375</vt:lpwstr>
  </property>
  <property fmtid="{D5CDD505-2E9C-101B-9397-08002B2CF9AE}" pid="7" name="MSIP_Label_defa4170-0d19-0005-0004-bc88714345d2_ActionId">
    <vt:lpwstr>047c2ba0-5be4-481f-a694-b29f0a85ef1c</vt:lpwstr>
  </property>
  <property fmtid="{D5CDD505-2E9C-101B-9397-08002B2CF9AE}" pid="8" name="MSIP_Label_defa4170-0d19-0005-0004-bc88714345d2_ContentBits">
    <vt:lpwstr>0</vt:lpwstr>
  </property>
</Properties>
</file>